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6639\Desktop\Commercials\DA 051-2020 (Concourse communication-Boingo)\New Contract\"/>
    </mc:Choice>
  </mc:AlternateContent>
  <xr:revisionPtr revIDLastSave="0" documentId="13_ncr:1_{9F19CC7C-DAE8-420F-90D5-25ED64E6C59A}" xr6:coauthVersionLast="47" xr6:coauthVersionMax="47" xr10:uidLastSave="{00000000-0000-0000-0000-000000000000}"/>
  <bookViews>
    <workbookView xWindow="-120" yWindow="-120" windowWidth="29040" windowHeight="15720" xr2:uid="{E048ACE1-09AB-44ED-A2FD-5ED37D9E31EA}"/>
  </bookViews>
  <sheets>
    <sheet name="Monthly Report Format" sheetId="48" r:id="rId1"/>
    <sheet name="Quarterly Report Format" sheetId="4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49" l="1"/>
  <c r="N23" i="49" s="1"/>
  <c r="M22" i="49"/>
  <c r="M23" i="49" s="1"/>
  <c r="L22" i="49"/>
  <c r="L23" i="49" s="1"/>
  <c r="K22" i="49"/>
  <c r="K23" i="49" s="1"/>
  <c r="J22" i="49"/>
  <c r="J23" i="49" s="1"/>
  <c r="I22" i="49"/>
  <c r="I23" i="49" s="1"/>
  <c r="H22" i="49"/>
  <c r="H23" i="49" s="1"/>
  <c r="G22" i="49"/>
  <c r="G23" i="49" s="1"/>
  <c r="F22" i="49"/>
  <c r="F23" i="49" s="1"/>
  <c r="E22" i="49"/>
  <c r="E23" i="49" s="1"/>
  <c r="D22" i="49"/>
  <c r="D23" i="49" s="1"/>
  <c r="C22" i="49"/>
  <c r="P21" i="49"/>
  <c r="P20" i="49"/>
  <c r="D15" i="49"/>
  <c r="D16" i="49" s="1"/>
  <c r="E15" i="49"/>
  <c r="E16" i="49" s="1"/>
  <c r="F15" i="49"/>
  <c r="F16" i="49" s="1"/>
  <c r="F25" i="49" s="1"/>
  <c r="F26" i="49" s="1"/>
  <c r="G15" i="49"/>
  <c r="G16" i="49" s="1"/>
  <c r="H15" i="49"/>
  <c r="H16" i="49" s="1"/>
  <c r="I15" i="49"/>
  <c r="I16" i="49" s="1"/>
  <c r="J15" i="49"/>
  <c r="J16" i="49" s="1"/>
  <c r="K15" i="49"/>
  <c r="K16" i="49" s="1"/>
  <c r="K25" i="49" s="1"/>
  <c r="K26" i="49" s="1"/>
  <c r="L15" i="49"/>
  <c r="L16" i="49" s="1"/>
  <c r="M15" i="49"/>
  <c r="M16" i="49" s="1"/>
  <c r="N15" i="49"/>
  <c r="N16" i="49" s="1"/>
  <c r="N25" i="49" s="1"/>
  <c r="N26" i="49" s="1"/>
  <c r="C15" i="49"/>
  <c r="C16" i="49" s="1"/>
  <c r="P13" i="49"/>
  <c r="P14" i="49"/>
  <c r="J25" i="49" l="1"/>
  <c r="J26" i="49" s="1"/>
  <c r="H25" i="49"/>
  <c r="H26" i="49" s="1"/>
  <c r="M25" i="49"/>
  <c r="M26" i="49" s="1"/>
  <c r="E25" i="49"/>
  <c r="E26" i="49" s="1"/>
  <c r="L25" i="49"/>
  <c r="L26" i="49" s="1"/>
  <c r="D25" i="49"/>
  <c r="D26" i="49" s="1"/>
  <c r="I25" i="49"/>
  <c r="I26" i="49" s="1"/>
  <c r="G25" i="49"/>
  <c r="G26" i="49" s="1"/>
  <c r="P22" i="49"/>
  <c r="P23" i="49" s="1"/>
  <c r="C23" i="49"/>
  <c r="C25" i="49" s="1"/>
  <c r="C26" i="49" s="1"/>
  <c r="P15" i="49"/>
  <c r="P16" i="49" s="1"/>
  <c r="P25" i="49" s="1"/>
  <c r="P26" i="49" s="1"/>
  <c r="M10" i="48"/>
  <c r="N10" i="48" s="1"/>
  <c r="M11" i="48"/>
  <c r="N11" i="48" s="1"/>
  <c r="M12" i="48"/>
  <c r="O12" i="48" s="1"/>
  <c r="M13" i="48"/>
  <c r="O13" i="48" s="1"/>
  <c r="M14" i="48"/>
  <c r="O14" i="48" s="1"/>
  <c r="M15" i="48"/>
  <c r="N15" i="48" s="1"/>
  <c r="M16" i="48"/>
  <c r="O16" i="48" s="1"/>
  <c r="M17" i="48"/>
  <c r="O17" i="48" s="1"/>
  <c r="M18" i="48"/>
  <c r="O18" i="48" s="1"/>
  <c r="M9" i="48"/>
  <c r="N9" i="48" s="1"/>
  <c r="K19" i="48"/>
  <c r="J19" i="48"/>
  <c r="N18" i="48" l="1"/>
  <c r="N13" i="48"/>
  <c r="M19" i="48"/>
  <c r="O19" i="48" s="1"/>
  <c r="N17" i="48"/>
  <c r="N16" i="48"/>
  <c r="O15" i="48"/>
  <c r="O9" i="48"/>
  <c r="O11" i="48"/>
  <c r="O10" i="48"/>
  <c r="N12" i="48"/>
  <c r="N14" i="48"/>
  <c r="N19" i="48" l="1"/>
</calcChain>
</file>

<file path=xl/sharedStrings.xml><?xml version="1.0" encoding="utf-8"?>
<sst xmlns="http://schemas.openxmlformats.org/spreadsheetml/2006/main" count="104" uniqueCount="42">
  <si>
    <t>S.No</t>
  </si>
  <si>
    <t xml:space="preserve">Customer name </t>
  </si>
  <si>
    <t>Location</t>
  </si>
  <si>
    <t>Month</t>
  </si>
  <si>
    <t>Other Revenue</t>
  </si>
  <si>
    <t>Total Revenue</t>
  </si>
  <si>
    <t>VAT</t>
  </si>
  <si>
    <t>Service Type</t>
  </si>
  <si>
    <t xml:space="preserve">Grey cell: Either the service has been suspended or terminated </t>
  </si>
  <si>
    <t xml:space="preserve">DA Revenue Share </t>
  </si>
  <si>
    <t xml:space="preserve"> Monthly Report (MM-YY)</t>
  </si>
  <si>
    <t>Date</t>
  </si>
  <si>
    <t xml:space="preserve">Signature </t>
  </si>
  <si>
    <t xml:space="preserve">Total </t>
  </si>
  <si>
    <t>Revenue Breakdown</t>
  </si>
  <si>
    <t>Tenant Wifi/Tenant Secure Wifi/Guest Lounge Wifi/Wireline Internet (select one or multiple based on the customer contract)</t>
  </si>
  <si>
    <t>Comments</t>
  </si>
  <si>
    <t>Tenant Wifi</t>
  </si>
  <si>
    <t>Tenant Secure Wifi</t>
  </si>
  <si>
    <t>Guest Lounge wifi</t>
  </si>
  <si>
    <t>Wireline Internet</t>
  </si>
  <si>
    <t>Tenant Services</t>
  </si>
  <si>
    <t>Al Maktoum International ‐ DWC</t>
  </si>
  <si>
    <t>Dubai International Airport ‐ DXB</t>
  </si>
  <si>
    <t>Dubai Airports Corporation</t>
  </si>
  <si>
    <t>Wi‐Fi Monthly Revenue Report for MM-YY to MM-YY</t>
  </si>
  <si>
    <t xml:space="preserve">AED </t>
  </si>
  <si>
    <t>MM-YY</t>
  </si>
  <si>
    <t>TOTAL</t>
  </si>
  <si>
    <t xml:space="preserve">Tenant Services Revenue </t>
  </si>
  <si>
    <t>Other Revenue (if applicable)</t>
  </si>
  <si>
    <t xml:space="preserve">Total DWC revenue </t>
  </si>
  <si>
    <t>DA Revenue share percentage (70%)</t>
  </si>
  <si>
    <t>Dubai International Airport - DXB</t>
  </si>
  <si>
    <t>AL Maktoum International - DWC</t>
  </si>
  <si>
    <t>Q1</t>
  </si>
  <si>
    <t>Q2</t>
  </si>
  <si>
    <t>Q3</t>
  </si>
  <si>
    <t>Q4</t>
  </si>
  <si>
    <t>Total Revenue share for both DXB and DWC</t>
  </si>
  <si>
    <t>VAT (5%)</t>
  </si>
  <si>
    <t xml:space="preserve">Total DXB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</si>
</sst>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_-[$AED-4C09]* #,##0.00_-;\-[$AED-4C09]* #,##0.00_-;_-[$AED-4C09]* &quot;-&quot;??_-;_-@_-"/>
    <numFmt numFmtId="168" formatCode="_ [$AED]\ * #,##0.00_ ;_ [$AED]\ * \-#,##0.00_ ;_ [$AED]\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7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3" borderId="0" xfId="0" applyFill="1"/>
    <xf numFmtId="0" fontId="10" fillId="0" borderId="2" xfId="0" applyFont="1" applyBorder="1" applyAlignment="1">
      <alignment horizontal="left"/>
    </xf>
    <xf numFmtId="167" fontId="6" fillId="2" borderId="2" xfId="2" applyNumberFormat="1" applyFont="1" applyFill="1" applyBorder="1" applyAlignment="1">
      <alignment horizontal="center"/>
    </xf>
    <xf numFmtId="167" fontId="11" fillId="2" borderId="2" xfId="2" applyNumberFormat="1" applyFont="1" applyFill="1" applyBorder="1" applyAlignment="1">
      <alignment horizontal="right"/>
    </xf>
    <xf numFmtId="166" fontId="6" fillId="2" borderId="2" xfId="2" applyNumberFormat="1" applyFont="1" applyFill="1" applyBorder="1"/>
    <xf numFmtId="166" fontId="6" fillId="2" borderId="2" xfId="1" applyNumberFormat="1" applyFont="1" applyFill="1" applyBorder="1"/>
    <xf numFmtId="167" fontId="6" fillId="0" borderId="2" xfId="2" applyNumberFormat="1" applyFont="1" applyBorder="1"/>
    <xf numFmtId="0" fontId="0" fillId="2" borderId="0" xfId="0" applyFill="1"/>
    <xf numFmtId="0" fontId="8" fillId="0" borderId="5" xfId="0" applyFont="1" applyBorder="1" applyAlignment="1">
      <alignment horizontal="center"/>
    </xf>
    <xf numFmtId="166" fontId="6" fillId="2" borderId="3" xfId="2" applyNumberFormat="1" applyFont="1" applyFill="1" applyBorder="1"/>
    <xf numFmtId="165" fontId="6" fillId="2" borderId="7" xfId="1" applyFont="1" applyFill="1" applyBorder="1"/>
    <xf numFmtId="0" fontId="4" fillId="0" borderId="2" xfId="0" applyFont="1" applyBorder="1"/>
    <xf numFmtId="0" fontId="3" fillId="0" borderId="2" xfId="0" applyFont="1" applyBorder="1"/>
    <xf numFmtId="0" fontId="4" fillId="0" borderId="5" xfId="0" applyFont="1" applyBorder="1"/>
    <xf numFmtId="167" fontId="6" fillId="0" borderId="9" xfId="2" applyNumberFormat="1" applyFont="1" applyBorder="1"/>
    <xf numFmtId="166" fontId="9" fillId="2" borderId="2" xfId="2" applyNumberFormat="1" applyFont="1" applyFill="1" applyBorder="1"/>
    <xf numFmtId="167" fontId="6" fillId="0" borderId="10" xfId="2" applyNumberFormat="1" applyFont="1" applyBorder="1"/>
    <xf numFmtId="0" fontId="4" fillId="2" borderId="0" xfId="0" applyFont="1" applyFill="1"/>
    <xf numFmtId="167" fontId="6" fillId="2" borderId="0" xfId="2" applyNumberFormat="1" applyFont="1" applyFill="1"/>
    <xf numFmtId="164" fontId="4" fillId="2" borderId="0" xfId="2" applyFont="1" applyFill="1"/>
    <xf numFmtId="0" fontId="4" fillId="2" borderId="0" xfId="0" applyFont="1" applyFill="1" applyAlignment="1">
      <alignment horizontal="right"/>
    </xf>
    <xf numFmtId="166" fontId="9" fillId="2" borderId="0" xfId="2" applyNumberFormat="1" applyFont="1" applyFill="1" applyBorder="1"/>
    <xf numFmtId="0" fontId="12" fillId="4" borderId="2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17" fontId="6" fillId="0" borderId="2" xfId="0" applyNumberFormat="1" applyFont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165" fontId="6" fillId="2" borderId="3" xfId="1" applyFont="1" applyFill="1" applyBorder="1"/>
    <xf numFmtId="167" fontId="6" fillId="0" borderId="3" xfId="2" applyNumberFormat="1" applyFont="1" applyBorder="1"/>
    <xf numFmtId="0" fontId="15" fillId="5" borderId="17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168" fontId="0" fillId="0" borderId="2" xfId="0" applyNumberFormat="1" applyBorder="1"/>
    <xf numFmtId="0" fontId="0" fillId="6" borderId="2" xfId="0" applyFill="1" applyBorder="1"/>
    <xf numFmtId="168" fontId="0" fillId="6" borderId="2" xfId="0" applyNumberFormat="1" applyFill="1" applyBorder="1"/>
    <xf numFmtId="0" fontId="20" fillId="0" borderId="11" xfId="0" applyFont="1" applyBorder="1"/>
    <xf numFmtId="168" fontId="20" fillId="0" borderId="12" xfId="0" applyNumberFormat="1" applyFont="1" applyBorder="1"/>
    <xf numFmtId="0" fontId="20" fillId="0" borderId="12" xfId="0" applyFont="1" applyBorder="1"/>
    <xf numFmtId="168" fontId="20" fillId="0" borderId="13" xfId="0" applyNumberFormat="1" applyFont="1" applyBorder="1"/>
    <xf numFmtId="0" fontId="20" fillId="0" borderId="8" xfId="0" applyFont="1" applyBorder="1"/>
    <xf numFmtId="168" fontId="20" fillId="0" borderId="9" xfId="0" applyNumberFormat="1" applyFont="1" applyBorder="1"/>
    <xf numFmtId="0" fontId="20" fillId="0" borderId="9" xfId="0" applyFont="1" applyBorder="1"/>
    <xf numFmtId="168" fontId="20" fillId="0" borderId="10" xfId="0" applyNumberFormat="1" applyFont="1" applyBorder="1"/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18" fillId="2" borderId="25" xfId="0" applyFont="1" applyFill="1" applyBorder="1"/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left"/>
    </xf>
    <xf numFmtId="0" fontId="19" fillId="5" borderId="14" xfId="0" applyFont="1" applyFill="1" applyBorder="1" applyAlignment="1">
      <alignment horizontal="left"/>
    </xf>
    <xf numFmtId="0" fontId="19" fillId="5" borderId="24" xfId="0" applyFont="1" applyFill="1" applyBorder="1" applyAlignment="1">
      <alignment horizontal="left"/>
    </xf>
    <xf numFmtId="0" fontId="19" fillId="5" borderId="20" xfId="0" applyFont="1" applyFill="1" applyBorder="1" applyAlignment="1">
      <alignment horizontal="left"/>
    </xf>
    <xf numFmtId="0" fontId="19" fillId="5" borderId="1" xfId="0" applyFont="1" applyFill="1" applyBorder="1" applyAlignment="1">
      <alignment horizontal="left"/>
    </xf>
    <xf numFmtId="0" fontId="19" fillId="5" borderId="16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0671-1C4E-4EE5-92CD-12537728C917}">
  <dimension ref="A1:AP83"/>
  <sheetViews>
    <sheetView tabSelected="1" zoomScale="80" zoomScaleNormal="80" workbookViewId="0">
      <selection activeCell="F9" sqref="F9"/>
    </sheetView>
  </sheetViews>
  <sheetFormatPr defaultRowHeight="15" x14ac:dyDescent="0.25"/>
  <cols>
    <col min="2" max="2" width="10.140625" customWidth="1"/>
    <col min="3" max="3" width="44" customWidth="1"/>
    <col min="4" max="4" width="10.140625" customWidth="1"/>
    <col min="5" max="5" width="7.7109375" bestFit="1" customWidth="1"/>
    <col min="6" max="6" width="39.5703125" bestFit="1" customWidth="1"/>
    <col min="7" max="7" width="12.7109375" customWidth="1"/>
    <col min="8" max="8" width="18.140625" bestFit="1" customWidth="1"/>
    <col min="9" max="9" width="17.28515625" bestFit="1" customWidth="1"/>
    <col min="10" max="10" width="16.7109375" bestFit="1" customWidth="1"/>
    <col min="11" max="11" width="16.5703125" bestFit="1" customWidth="1"/>
    <col min="12" max="12" width="16.5703125" customWidth="1"/>
    <col min="13" max="13" width="20.28515625" customWidth="1"/>
    <col min="14" max="14" width="16.28515625" customWidth="1"/>
    <col min="15" max="15" width="21.28515625" customWidth="1"/>
  </cols>
  <sheetData>
    <row r="1" spans="1:42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spans="1:42" x14ac:dyDescent="0.25">
      <c r="A2" s="14"/>
      <c r="B2" s="59" t="s">
        <v>11</v>
      </c>
      <c r="C2" s="59"/>
      <c r="D2" s="60"/>
      <c r="E2" s="60"/>
      <c r="F2" s="60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ht="32.25" customHeight="1" x14ac:dyDescent="0.25">
      <c r="A3" s="14"/>
      <c r="B3" s="59" t="s">
        <v>12</v>
      </c>
      <c r="C3" s="59"/>
      <c r="D3" s="60"/>
      <c r="E3" s="60"/>
      <c r="F3" s="6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</row>
    <row r="4" spans="1:4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42" ht="40.9" customHeight="1" thickBot="1" x14ac:dyDescent="0.3">
      <c r="A5" s="14"/>
      <c r="B5" s="57" t="s">
        <v>10</v>
      </c>
      <c r="C5" s="57"/>
      <c r="D5" s="57"/>
      <c r="E5" s="57"/>
      <c r="F5" s="57"/>
      <c r="G5" s="58"/>
      <c r="H5" s="58"/>
      <c r="I5" s="58"/>
      <c r="J5" s="58"/>
      <c r="K5" s="58"/>
      <c r="L5" s="58"/>
      <c r="M5" s="57"/>
      <c r="N5" s="57"/>
      <c r="O5" s="57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42" ht="40.9" customHeight="1" x14ac:dyDescent="0.25">
      <c r="A6" s="14"/>
      <c r="B6" s="61"/>
      <c r="C6" s="62"/>
      <c r="D6" s="62"/>
      <c r="E6" s="62"/>
      <c r="F6" s="63"/>
      <c r="G6" s="76" t="s">
        <v>14</v>
      </c>
      <c r="H6" s="77"/>
      <c r="I6" s="77"/>
      <c r="J6" s="77"/>
      <c r="K6" s="78"/>
      <c r="L6" s="70"/>
      <c r="M6" s="71"/>
      <c r="N6" s="71"/>
      <c r="O6" s="72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42" ht="18.75" customHeight="1" x14ac:dyDescent="0.25">
      <c r="A7" s="14"/>
      <c r="B7" s="64"/>
      <c r="C7" s="65"/>
      <c r="D7" s="65"/>
      <c r="E7" s="65"/>
      <c r="F7" s="66"/>
      <c r="G7" s="67" t="s">
        <v>21</v>
      </c>
      <c r="H7" s="68"/>
      <c r="I7" s="68"/>
      <c r="J7" s="69"/>
      <c r="K7" s="39"/>
      <c r="L7" s="73"/>
      <c r="M7" s="74"/>
      <c r="N7" s="74"/>
      <c r="O7" s="75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42" ht="15.75" x14ac:dyDescent="0.25">
      <c r="A8" s="14"/>
      <c r="B8" s="29" t="s">
        <v>0</v>
      </c>
      <c r="C8" s="29" t="s">
        <v>1</v>
      </c>
      <c r="D8" s="29" t="s">
        <v>2</v>
      </c>
      <c r="E8" s="29" t="s">
        <v>3</v>
      </c>
      <c r="F8" s="33" t="s">
        <v>7</v>
      </c>
      <c r="G8" s="29" t="s">
        <v>17</v>
      </c>
      <c r="H8" s="29" t="s">
        <v>18</v>
      </c>
      <c r="I8" s="29" t="s">
        <v>19</v>
      </c>
      <c r="J8" s="29" t="s">
        <v>20</v>
      </c>
      <c r="K8" s="30" t="s">
        <v>4</v>
      </c>
      <c r="L8" s="36" t="s">
        <v>16</v>
      </c>
      <c r="M8" s="31" t="s">
        <v>5</v>
      </c>
      <c r="N8" s="29" t="s">
        <v>6</v>
      </c>
      <c r="O8" s="32" t="s">
        <v>9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42" ht="49.5" customHeight="1" x14ac:dyDescent="0.25">
      <c r="A9" s="14"/>
      <c r="B9" s="5">
        <v>1</v>
      </c>
      <c r="C9" s="1"/>
      <c r="D9" s="4"/>
      <c r="E9" s="35">
        <v>46023</v>
      </c>
      <c r="F9" s="34" t="s">
        <v>15</v>
      </c>
      <c r="G9" s="6"/>
      <c r="H9" s="6"/>
      <c r="I9" s="6"/>
      <c r="J9" s="9"/>
      <c r="K9" s="17"/>
      <c r="L9" s="37"/>
      <c r="M9" s="16">
        <f t="shared" ref="M9:M19" si="0">SUM(G9:K9)</f>
        <v>0</v>
      </c>
      <c r="N9" s="12">
        <f>M9*5%</f>
        <v>0</v>
      </c>
      <c r="O9" s="11">
        <f>M9*70%</f>
        <v>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42" x14ac:dyDescent="0.25">
      <c r="A10" s="14"/>
      <c r="B10" s="5">
        <v>2</v>
      </c>
      <c r="C10" s="2"/>
      <c r="D10" s="4"/>
      <c r="E10" s="5"/>
      <c r="F10" s="15"/>
      <c r="G10" s="6"/>
      <c r="H10" s="6"/>
      <c r="I10" s="6"/>
      <c r="J10" s="9"/>
      <c r="K10" s="17"/>
      <c r="L10" s="37"/>
      <c r="M10" s="16">
        <f t="shared" si="0"/>
        <v>0</v>
      </c>
      <c r="N10" s="12">
        <f t="shared" ref="N10:N18" si="1">M10*5%</f>
        <v>0</v>
      </c>
      <c r="O10" s="11">
        <f t="shared" ref="O10:O18" si="2">M10*70%</f>
        <v>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42" x14ac:dyDescent="0.25">
      <c r="A11" s="14"/>
      <c r="B11" s="5">
        <v>3</v>
      </c>
      <c r="C11" s="3"/>
      <c r="D11" s="4"/>
      <c r="E11" s="5"/>
      <c r="F11" s="15"/>
      <c r="G11" s="6"/>
      <c r="H11" s="6"/>
      <c r="I11" s="6"/>
      <c r="J11" s="9"/>
      <c r="K11" s="17"/>
      <c r="L11" s="37"/>
      <c r="M11" s="16">
        <f t="shared" si="0"/>
        <v>0</v>
      </c>
      <c r="N11" s="12">
        <f t="shared" si="1"/>
        <v>0</v>
      </c>
      <c r="O11" s="11">
        <f t="shared" si="2"/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42" x14ac:dyDescent="0.25">
      <c r="A12" s="14"/>
      <c r="B12" s="5">
        <v>4</v>
      </c>
      <c r="C12" s="2"/>
      <c r="D12" s="4"/>
      <c r="E12" s="5"/>
      <c r="F12" s="15"/>
      <c r="G12" s="6"/>
      <c r="H12" s="6"/>
      <c r="I12" s="6"/>
      <c r="J12" s="9"/>
      <c r="K12" s="17"/>
      <c r="L12" s="37"/>
      <c r="M12" s="16">
        <f t="shared" si="0"/>
        <v>0</v>
      </c>
      <c r="N12" s="12">
        <f t="shared" si="1"/>
        <v>0</v>
      </c>
      <c r="O12" s="11">
        <f t="shared" si="2"/>
        <v>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42" x14ac:dyDescent="0.25">
      <c r="A13" s="14"/>
      <c r="B13" s="5">
        <v>5</v>
      </c>
      <c r="C13" s="8"/>
      <c r="D13" s="4"/>
      <c r="E13" s="5"/>
      <c r="F13" s="15"/>
      <c r="G13" s="6"/>
      <c r="H13" s="6"/>
      <c r="I13" s="6"/>
      <c r="J13" s="10"/>
      <c r="K13" s="17"/>
      <c r="L13" s="37"/>
      <c r="M13" s="16">
        <f t="shared" si="0"/>
        <v>0</v>
      </c>
      <c r="N13" s="12">
        <f t="shared" si="1"/>
        <v>0</v>
      </c>
      <c r="O13" s="11">
        <f t="shared" si="2"/>
        <v>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42" x14ac:dyDescent="0.25">
      <c r="A14" s="14"/>
      <c r="B14" s="5">
        <v>6</v>
      </c>
      <c r="C14" s="1"/>
      <c r="D14" s="4"/>
      <c r="E14" s="5"/>
      <c r="F14" s="15"/>
      <c r="G14" s="6"/>
      <c r="H14" s="6"/>
      <c r="I14" s="6"/>
      <c r="J14" s="9"/>
      <c r="K14" s="17"/>
      <c r="L14" s="37"/>
      <c r="M14" s="16">
        <f t="shared" si="0"/>
        <v>0</v>
      </c>
      <c r="N14" s="12">
        <f t="shared" si="1"/>
        <v>0</v>
      </c>
      <c r="O14" s="11">
        <f t="shared" si="2"/>
        <v>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42" x14ac:dyDescent="0.25">
      <c r="A15" s="14"/>
      <c r="B15" s="5">
        <v>7</v>
      </c>
      <c r="C15" s="1"/>
      <c r="D15" s="4"/>
      <c r="E15" s="5"/>
      <c r="F15" s="15"/>
      <c r="G15" s="6"/>
      <c r="H15" s="6"/>
      <c r="I15" s="6"/>
      <c r="J15" s="10"/>
      <c r="K15" s="17"/>
      <c r="L15" s="37"/>
      <c r="M15" s="16">
        <f t="shared" si="0"/>
        <v>0</v>
      </c>
      <c r="N15" s="12">
        <f t="shared" si="1"/>
        <v>0</v>
      </c>
      <c r="O15" s="11">
        <f t="shared" si="2"/>
        <v>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42" x14ac:dyDescent="0.25">
      <c r="A16" s="14"/>
      <c r="B16" s="5">
        <v>8</v>
      </c>
      <c r="C16" s="1"/>
      <c r="D16" s="4"/>
      <c r="E16" s="5"/>
      <c r="F16" s="15"/>
      <c r="G16" s="6"/>
      <c r="H16" s="6"/>
      <c r="I16" s="6"/>
      <c r="J16" s="9"/>
      <c r="K16" s="17"/>
      <c r="L16" s="37"/>
      <c r="M16" s="16">
        <f t="shared" si="0"/>
        <v>0</v>
      </c>
      <c r="N16" s="12">
        <f t="shared" si="1"/>
        <v>0</v>
      </c>
      <c r="O16" s="11">
        <f t="shared" si="2"/>
        <v>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x14ac:dyDescent="0.25">
      <c r="A17" s="14"/>
      <c r="B17" s="5">
        <v>9</v>
      </c>
      <c r="C17" s="1"/>
      <c r="D17" s="4"/>
      <c r="E17" s="5"/>
      <c r="F17" s="15"/>
      <c r="G17" s="6"/>
      <c r="H17" s="6"/>
      <c r="I17" s="6"/>
      <c r="J17" s="9"/>
      <c r="K17" s="17"/>
      <c r="L17" s="37"/>
      <c r="M17" s="16">
        <f t="shared" si="0"/>
        <v>0</v>
      </c>
      <c r="N17" s="12">
        <f t="shared" si="1"/>
        <v>0</v>
      </c>
      <c r="O17" s="11">
        <f t="shared" si="2"/>
        <v>0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x14ac:dyDescent="0.25">
      <c r="A18" s="14"/>
      <c r="B18" s="5">
        <v>10</v>
      </c>
      <c r="C18" s="1"/>
      <c r="D18" s="4"/>
      <c r="E18" s="5"/>
      <c r="F18" s="15"/>
      <c r="G18" s="6"/>
      <c r="H18" s="6"/>
      <c r="I18" s="6"/>
      <c r="J18" s="9"/>
      <c r="K18" s="17"/>
      <c r="L18" s="37"/>
      <c r="M18" s="16">
        <f t="shared" si="0"/>
        <v>0</v>
      </c>
      <c r="N18" s="12">
        <f t="shared" si="1"/>
        <v>0</v>
      </c>
      <c r="O18" s="11">
        <f t="shared" si="2"/>
        <v>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5.75" thickBot="1" x14ac:dyDescent="0.3">
      <c r="A19" s="14"/>
      <c r="B19" s="18"/>
      <c r="C19" s="19" t="s">
        <v>13</v>
      </c>
      <c r="D19" s="18"/>
      <c r="E19" s="18"/>
      <c r="F19" s="20"/>
      <c r="G19" s="21"/>
      <c r="H19" s="21"/>
      <c r="I19" s="21"/>
      <c r="J19" s="21">
        <f>SUM(J9:J18)</f>
        <v>0</v>
      </c>
      <c r="K19" s="23">
        <f>SUM(K9:K18)</f>
        <v>0</v>
      </c>
      <c r="L19" s="38"/>
      <c r="M19" s="16">
        <f t="shared" si="0"/>
        <v>0</v>
      </c>
      <c r="N19" s="13">
        <f t="shared" ref="N19" si="3">SUM(N9:N18)</f>
        <v>0</v>
      </c>
      <c r="O19" s="22">
        <f>M19*70%</f>
        <v>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x14ac:dyDescent="0.25">
      <c r="A20" s="14"/>
      <c r="B20" s="24"/>
      <c r="C20" s="24"/>
      <c r="D20" s="24"/>
      <c r="E20" s="24"/>
      <c r="F20" s="24"/>
      <c r="G20" s="24"/>
      <c r="H20" s="24"/>
      <c r="I20" s="24"/>
      <c r="J20" s="25"/>
      <c r="K20" s="24"/>
      <c r="L20" s="24"/>
      <c r="M20" s="26"/>
      <c r="N20" s="27"/>
      <c r="O20" s="28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x14ac:dyDescent="0.25">
      <c r="A21" s="14"/>
      <c r="B21" s="7"/>
      <c r="C21" t="s">
        <v>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spans="1:39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9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9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spans="1:39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spans="1:39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spans="1:39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spans="1:3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spans="1:37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spans="1:37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37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spans="1:37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spans="1:37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spans="1:37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spans="1:37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spans="1:37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spans="1:37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spans="1:3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spans="1:3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spans="1:3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spans="1:3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spans="1:3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spans="1:3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spans="1:3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spans="1:3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spans="1:3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spans="1:3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spans="1:3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spans="1:3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spans="1:3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spans="1:3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spans="1:3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spans="1:37" x14ac:dyDescent="0.2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spans="1:37" x14ac:dyDescent="0.25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spans="1:37" x14ac:dyDescent="0.2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25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 x14ac:dyDescent="0.25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spans="2:37" x14ac:dyDescent="0.25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spans="2:37" x14ac:dyDescent="0.25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spans="2:37" x14ac:dyDescent="0.2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</sheetData>
  <mergeCells count="9">
    <mergeCell ref="B6:F7"/>
    <mergeCell ref="G7:J7"/>
    <mergeCell ref="L6:O7"/>
    <mergeCell ref="G6:K6"/>
    <mergeCell ref="B5:O5"/>
    <mergeCell ref="B2:C2"/>
    <mergeCell ref="D2:F2"/>
    <mergeCell ref="B3:C3"/>
    <mergeCell ref="D3:F3"/>
  </mergeCells>
  <phoneticPr fontId="5" type="noConversion"/>
  <pageMargins left="0.7" right="0.7" top="0.75" bottom="0.75" header="0.3" footer="0.3"/>
  <pageSetup orientation="portrait" r:id="rId1"/>
  <headerFooter>
    <oddFooter>&amp;C_x000D_&amp;1#&amp;"Calibri"&amp;10&amp;KFF0000 DA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0153-3CF8-4F41-B49F-AF2FA0DA7D5C}">
  <dimension ref="A1:AQ191"/>
  <sheetViews>
    <sheetView zoomScale="85" zoomScaleNormal="85" workbookViewId="0">
      <selection activeCell="P26" sqref="P26"/>
    </sheetView>
  </sheetViews>
  <sheetFormatPr defaultRowHeight="15" x14ac:dyDescent="0.25"/>
  <cols>
    <col min="2" max="2" width="49" customWidth="1"/>
    <col min="3" max="3" width="14.140625" customWidth="1"/>
    <col min="4" max="5" width="14.85546875" customWidth="1"/>
    <col min="6" max="6" width="11.42578125" customWidth="1"/>
    <col min="7" max="7" width="12.5703125" customWidth="1"/>
    <col min="8" max="9" width="13.5703125" customWidth="1"/>
    <col min="10" max="10" width="11.7109375" customWidth="1"/>
    <col min="11" max="11" width="11.85546875" customWidth="1"/>
    <col min="12" max="12" width="11.42578125" customWidth="1"/>
    <col min="13" max="13" width="13.42578125" customWidth="1"/>
    <col min="14" max="14" width="11.28515625" customWidth="1"/>
    <col min="16" max="16" width="17.5703125" customWidth="1"/>
  </cols>
  <sheetData>
    <row r="1" spans="1:43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5.75" thickBo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x14ac:dyDescent="0.25">
      <c r="A4" s="14"/>
      <c r="B4" s="56" t="s">
        <v>25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x14ac:dyDescent="0.25">
      <c r="A5" s="14"/>
      <c r="B5" s="54" t="s">
        <v>24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x14ac:dyDescent="0.25">
      <c r="A6" s="14"/>
      <c r="B6" s="54" t="s">
        <v>22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ht="15.75" thickBot="1" x14ac:dyDescent="0.3">
      <c r="A7" s="14"/>
      <c r="B7" s="55" t="s">
        <v>23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x14ac:dyDescent="0.25">
      <c r="A9" s="14"/>
      <c r="B9" s="14"/>
      <c r="C9" s="85" t="s">
        <v>35</v>
      </c>
      <c r="D9" s="85"/>
      <c r="E9" s="85"/>
      <c r="F9" s="85" t="s">
        <v>36</v>
      </c>
      <c r="G9" s="85"/>
      <c r="H9" s="85"/>
      <c r="I9" s="85" t="s">
        <v>37</v>
      </c>
      <c r="J9" s="85"/>
      <c r="K9" s="85"/>
      <c r="L9" s="85" t="s">
        <v>38</v>
      </c>
      <c r="M9" s="85"/>
      <c r="N9" s="85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</row>
    <row r="10" spans="1:43" x14ac:dyDescent="0.25">
      <c r="A10" s="14"/>
      <c r="B10" s="40" t="s">
        <v>26</v>
      </c>
      <c r="C10" s="40" t="s">
        <v>27</v>
      </c>
      <c r="D10" s="40" t="s">
        <v>27</v>
      </c>
      <c r="E10" s="40" t="s">
        <v>27</v>
      </c>
      <c r="F10" s="40" t="s">
        <v>27</v>
      </c>
      <c r="G10" s="40" t="s">
        <v>27</v>
      </c>
      <c r="H10" s="40" t="s">
        <v>27</v>
      </c>
      <c r="I10" s="40" t="s">
        <v>27</v>
      </c>
      <c r="J10" s="40" t="s">
        <v>27</v>
      </c>
      <c r="K10" s="40" t="s">
        <v>27</v>
      </c>
      <c r="L10" s="40" t="s">
        <v>27</v>
      </c>
      <c r="M10" s="40" t="s">
        <v>27</v>
      </c>
      <c r="N10" s="40" t="s">
        <v>27</v>
      </c>
      <c r="O10" s="40"/>
      <c r="P10" s="40" t="s">
        <v>28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x14ac:dyDescent="0.25">
      <c r="A11" s="14"/>
      <c r="B11" s="79" t="s">
        <v>34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ht="6.75" customHeight="1" x14ac:dyDescent="0.25">
      <c r="A12" s="14"/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x14ac:dyDescent="0.25">
      <c r="A13" s="14"/>
      <c r="B13" s="41" t="s">
        <v>29</v>
      </c>
      <c r="C13" s="43" t="s">
        <v>26</v>
      </c>
      <c r="D13" s="43" t="s">
        <v>26</v>
      </c>
      <c r="E13" s="43" t="s">
        <v>26</v>
      </c>
      <c r="F13" s="43" t="s">
        <v>26</v>
      </c>
      <c r="G13" s="43" t="s">
        <v>26</v>
      </c>
      <c r="H13" s="43" t="s">
        <v>26</v>
      </c>
      <c r="I13" s="43" t="s">
        <v>26</v>
      </c>
      <c r="J13" s="43" t="s">
        <v>26</v>
      </c>
      <c r="K13" s="43" t="s">
        <v>26</v>
      </c>
      <c r="L13" s="43" t="s">
        <v>26</v>
      </c>
      <c r="M13" s="43" t="s">
        <v>26</v>
      </c>
      <c r="N13" s="43" t="s">
        <v>26</v>
      </c>
      <c r="O13" s="44"/>
      <c r="P13" s="42">
        <f t="shared" ref="P13:P15" si="0">SUM(C13:N13)</f>
        <v>0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x14ac:dyDescent="0.25">
      <c r="A14" s="14"/>
      <c r="B14" s="41" t="s">
        <v>30</v>
      </c>
      <c r="C14" s="43" t="s">
        <v>26</v>
      </c>
      <c r="D14" s="43" t="s">
        <v>26</v>
      </c>
      <c r="E14" s="43" t="s">
        <v>26</v>
      </c>
      <c r="F14" s="43" t="s">
        <v>26</v>
      </c>
      <c r="G14" s="43" t="s">
        <v>26</v>
      </c>
      <c r="H14" s="43" t="s">
        <v>26</v>
      </c>
      <c r="I14" s="43" t="s">
        <v>26</v>
      </c>
      <c r="J14" s="43" t="s">
        <v>26</v>
      </c>
      <c r="K14" s="43" t="s">
        <v>26</v>
      </c>
      <c r="L14" s="43" t="s">
        <v>26</v>
      </c>
      <c r="M14" s="43" t="s">
        <v>26</v>
      </c>
      <c r="N14" s="43" t="s">
        <v>26</v>
      </c>
      <c r="O14" s="44"/>
      <c r="P14" s="42">
        <f t="shared" si="0"/>
        <v>0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x14ac:dyDescent="0.25">
      <c r="A15" s="14"/>
      <c r="B15" s="41" t="s">
        <v>31</v>
      </c>
      <c r="C15" s="42">
        <f t="shared" ref="C15:N15" si="1">SUM(C13:C14)</f>
        <v>0</v>
      </c>
      <c r="D15" s="42">
        <f t="shared" si="1"/>
        <v>0</v>
      </c>
      <c r="E15" s="42">
        <f t="shared" si="1"/>
        <v>0</v>
      </c>
      <c r="F15" s="42">
        <f t="shared" si="1"/>
        <v>0</v>
      </c>
      <c r="G15" s="42">
        <f t="shared" si="1"/>
        <v>0</v>
      </c>
      <c r="H15" s="42">
        <f t="shared" si="1"/>
        <v>0</v>
      </c>
      <c r="I15" s="42">
        <f t="shared" si="1"/>
        <v>0</v>
      </c>
      <c r="J15" s="42">
        <f t="shared" si="1"/>
        <v>0</v>
      </c>
      <c r="K15" s="42">
        <f t="shared" si="1"/>
        <v>0</v>
      </c>
      <c r="L15" s="42">
        <f t="shared" si="1"/>
        <v>0</v>
      </c>
      <c r="M15" s="42">
        <f t="shared" si="1"/>
        <v>0</v>
      </c>
      <c r="N15" s="42">
        <f t="shared" si="1"/>
        <v>0</v>
      </c>
      <c r="O15" s="44"/>
      <c r="P15" s="42">
        <f t="shared" si="0"/>
        <v>0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x14ac:dyDescent="0.25">
      <c r="A16" s="14"/>
      <c r="B16" s="41" t="s">
        <v>32</v>
      </c>
      <c r="C16" s="43">
        <f>C15*70%</f>
        <v>0</v>
      </c>
      <c r="D16" s="43">
        <f t="shared" ref="D16:N16" si="2">D15*70%</f>
        <v>0</v>
      </c>
      <c r="E16" s="43">
        <f t="shared" si="2"/>
        <v>0</v>
      </c>
      <c r="F16" s="43">
        <f t="shared" si="2"/>
        <v>0</v>
      </c>
      <c r="G16" s="43">
        <f t="shared" si="2"/>
        <v>0</v>
      </c>
      <c r="H16" s="43">
        <f t="shared" si="2"/>
        <v>0</v>
      </c>
      <c r="I16" s="43">
        <f t="shared" si="2"/>
        <v>0</v>
      </c>
      <c r="J16" s="43">
        <f t="shared" si="2"/>
        <v>0</v>
      </c>
      <c r="K16" s="43">
        <f t="shared" si="2"/>
        <v>0</v>
      </c>
      <c r="L16" s="43">
        <f t="shared" si="2"/>
        <v>0</v>
      </c>
      <c r="M16" s="43">
        <f t="shared" si="2"/>
        <v>0</v>
      </c>
      <c r="N16" s="43">
        <f t="shared" si="2"/>
        <v>0</v>
      </c>
      <c r="O16" s="45"/>
      <c r="P16" s="43">
        <f t="shared" ref="P16" si="3">P15*70%</f>
        <v>0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x14ac:dyDescent="0.25">
      <c r="A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x14ac:dyDescent="0.25">
      <c r="A18" s="14"/>
      <c r="B18" s="79" t="s">
        <v>33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1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ht="9" customHeight="1" x14ac:dyDescent="0.25">
      <c r="A19" s="14"/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x14ac:dyDescent="0.25">
      <c r="A20" s="14"/>
      <c r="B20" s="41" t="s">
        <v>29</v>
      </c>
      <c r="C20" s="43" t="s">
        <v>26</v>
      </c>
      <c r="D20" s="43" t="s">
        <v>26</v>
      </c>
      <c r="E20" s="43" t="s">
        <v>26</v>
      </c>
      <c r="F20" s="43" t="s">
        <v>26</v>
      </c>
      <c r="G20" s="43" t="s">
        <v>26</v>
      </c>
      <c r="H20" s="43" t="s">
        <v>26</v>
      </c>
      <c r="I20" s="43" t="s">
        <v>26</v>
      </c>
      <c r="J20" s="43" t="s">
        <v>26</v>
      </c>
      <c r="K20" s="43" t="s">
        <v>26</v>
      </c>
      <c r="L20" s="43" t="s">
        <v>26</v>
      </c>
      <c r="M20" s="43" t="s">
        <v>26</v>
      </c>
      <c r="N20" s="43" t="s">
        <v>26</v>
      </c>
      <c r="O20" s="44"/>
      <c r="P20" s="42">
        <f t="shared" ref="P20:P22" si="4">SUM(C20:N20)</f>
        <v>0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x14ac:dyDescent="0.25">
      <c r="A21" s="14"/>
      <c r="B21" s="41" t="s">
        <v>30</v>
      </c>
      <c r="C21" s="43" t="s">
        <v>26</v>
      </c>
      <c r="D21" s="43" t="s">
        <v>26</v>
      </c>
      <c r="E21" s="43" t="s">
        <v>26</v>
      </c>
      <c r="F21" s="43" t="s">
        <v>26</v>
      </c>
      <c r="G21" s="43" t="s">
        <v>26</v>
      </c>
      <c r="H21" s="43" t="s">
        <v>26</v>
      </c>
      <c r="I21" s="43" t="s">
        <v>26</v>
      </c>
      <c r="J21" s="43" t="s">
        <v>26</v>
      </c>
      <c r="K21" s="43" t="s">
        <v>26</v>
      </c>
      <c r="L21" s="43" t="s">
        <v>26</v>
      </c>
      <c r="M21" s="43" t="s">
        <v>26</v>
      </c>
      <c r="N21" s="43" t="s">
        <v>26</v>
      </c>
      <c r="O21" s="44"/>
      <c r="P21" s="42">
        <f t="shared" si="4"/>
        <v>0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x14ac:dyDescent="0.25">
      <c r="A22" s="14"/>
      <c r="B22" s="41" t="s">
        <v>41</v>
      </c>
      <c r="C22" s="42">
        <f t="shared" ref="C22:N22" si="5">SUM(C20:C21)</f>
        <v>0</v>
      </c>
      <c r="D22" s="42">
        <f t="shared" si="5"/>
        <v>0</v>
      </c>
      <c r="E22" s="42">
        <f t="shared" si="5"/>
        <v>0</v>
      </c>
      <c r="F22" s="42">
        <f t="shared" si="5"/>
        <v>0</v>
      </c>
      <c r="G22" s="42">
        <f t="shared" si="5"/>
        <v>0</v>
      </c>
      <c r="H22" s="42">
        <f t="shared" si="5"/>
        <v>0</v>
      </c>
      <c r="I22" s="42">
        <f t="shared" si="5"/>
        <v>0</v>
      </c>
      <c r="J22" s="42">
        <f t="shared" si="5"/>
        <v>0</v>
      </c>
      <c r="K22" s="42">
        <f t="shared" si="5"/>
        <v>0</v>
      </c>
      <c r="L22" s="42">
        <f t="shared" si="5"/>
        <v>0</v>
      </c>
      <c r="M22" s="42">
        <f t="shared" si="5"/>
        <v>0</v>
      </c>
      <c r="N22" s="42">
        <f t="shared" si="5"/>
        <v>0</v>
      </c>
      <c r="O22" s="44"/>
      <c r="P22" s="42">
        <f t="shared" si="4"/>
        <v>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x14ac:dyDescent="0.25">
      <c r="A23" s="14"/>
      <c r="B23" s="41" t="s">
        <v>32</v>
      </c>
      <c r="C23" s="43">
        <f>C22*70%</f>
        <v>0</v>
      </c>
      <c r="D23" s="43">
        <f t="shared" ref="D23" si="6">D22*70%</f>
        <v>0</v>
      </c>
      <c r="E23" s="43">
        <f t="shared" ref="E23" si="7">E22*70%</f>
        <v>0</v>
      </c>
      <c r="F23" s="43">
        <f t="shared" ref="F23" si="8">F22*70%</f>
        <v>0</v>
      </c>
      <c r="G23" s="43">
        <f t="shared" ref="G23" si="9">G22*70%</f>
        <v>0</v>
      </c>
      <c r="H23" s="43">
        <f t="shared" ref="H23" si="10">H22*70%</f>
        <v>0</v>
      </c>
      <c r="I23" s="43">
        <f t="shared" ref="I23" si="11">I22*70%</f>
        <v>0</v>
      </c>
      <c r="J23" s="43">
        <f t="shared" ref="J23" si="12">J22*70%</f>
        <v>0</v>
      </c>
      <c r="K23" s="43">
        <f t="shared" ref="K23" si="13">K22*70%</f>
        <v>0</v>
      </c>
      <c r="L23" s="43">
        <f t="shared" ref="L23" si="14">L22*70%</f>
        <v>0</v>
      </c>
      <c r="M23" s="43">
        <f t="shared" ref="M23" si="15">M22*70%</f>
        <v>0</v>
      </c>
      <c r="N23" s="43">
        <f t="shared" ref="N23" si="16">N22*70%</f>
        <v>0</v>
      </c>
      <c r="O23" s="45"/>
      <c r="P23" s="43">
        <f t="shared" ref="P23" si="17">P22*70%</f>
        <v>0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ht="15.75" thickBot="1" x14ac:dyDescent="0.3">
      <c r="A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x14ac:dyDescent="0.25">
      <c r="A25" s="14"/>
      <c r="B25" s="46" t="s">
        <v>39</v>
      </c>
      <c r="C25" s="47">
        <f t="shared" ref="C25:N25" si="18">C16+C23</f>
        <v>0</v>
      </c>
      <c r="D25" s="47">
        <f t="shared" si="18"/>
        <v>0</v>
      </c>
      <c r="E25" s="47">
        <f t="shared" si="18"/>
        <v>0</v>
      </c>
      <c r="F25" s="47">
        <f t="shared" si="18"/>
        <v>0</v>
      </c>
      <c r="G25" s="47">
        <f t="shared" si="18"/>
        <v>0</v>
      </c>
      <c r="H25" s="47">
        <f t="shared" si="18"/>
        <v>0</v>
      </c>
      <c r="I25" s="47">
        <f t="shared" si="18"/>
        <v>0</v>
      </c>
      <c r="J25" s="47">
        <f t="shared" si="18"/>
        <v>0</v>
      </c>
      <c r="K25" s="47">
        <f t="shared" si="18"/>
        <v>0</v>
      </c>
      <c r="L25" s="47">
        <f t="shared" si="18"/>
        <v>0</v>
      </c>
      <c r="M25" s="47">
        <f t="shared" si="18"/>
        <v>0</v>
      </c>
      <c r="N25" s="47">
        <f t="shared" si="18"/>
        <v>0</v>
      </c>
      <c r="O25" s="48"/>
      <c r="P25" s="49">
        <f>P16+P23</f>
        <v>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ht="15.75" thickBot="1" x14ac:dyDescent="0.3">
      <c r="A26" s="14"/>
      <c r="B26" s="50" t="s">
        <v>40</v>
      </c>
      <c r="C26" s="51">
        <f>C25*5%</f>
        <v>0</v>
      </c>
      <c r="D26" s="51">
        <f t="shared" ref="D26:P26" si="19">D25*5%</f>
        <v>0</v>
      </c>
      <c r="E26" s="51">
        <f t="shared" si="19"/>
        <v>0</v>
      </c>
      <c r="F26" s="51">
        <f t="shared" si="19"/>
        <v>0</v>
      </c>
      <c r="G26" s="51">
        <f t="shared" si="19"/>
        <v>0</v>
      </c>
      <c r="H26" s="51">
        <f t="shared" si="19"/>
        <v>0</v>
      </c>
      <c r="I26" s="51">
        <f t="shared" si="19"/>
        <v>0</v>
      </c>
      <c r="J26" s="51">
        <f t="shared" si="19"/>
        <v>0</v>
      </c>
      <c r="K26" s="51">
        <f t="shared" si="19"/>
        <v>0</v>
      </c>
      <c r="L26" s="51">
        <f t="shared" si="19"/>
        <v>0</v>
      </c>
      <c r="M26" s="51">
        <f t="shared" si="19"/>
        <v>0</v>
      </c>
      <c r="N26" s="51">
        <f t="shared" si="19"/>
        <v>0</v>
      </c>
      <c r="O26" s="52"/>
      <c r="P26" s="53">
        <f t="shared" si="19"/>
        <v>0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1:43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3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1:43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1:43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1:43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43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43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43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43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  <row r="118" spans="1:39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</row>
    <row r="119" spans="1:39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</row>
    <row r="120" spans="1:39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</row>
    <row r="121" spans="1:39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</row>
    <row r="122" spans="1:39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</row>
    <row r="123" spans="1:39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</row>
    <row r="124" spans="1:39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</row>
    <row r="125" spans="1:39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</row>
    <row r="126" spans="1:39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</row>
    <row r="127" spans="1:39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</row>
    <row r="128" spans="1:39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</row>
    <row r="129" spans="1:39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</row>
    <row r="130" spans="1:39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</row>
    <row r="131" spans="1:39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</row>
    <row r="132" spans="1:39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</row>
    <row r="133" spans="1:39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</row>
    <row r="134" spans="1:39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</row>
    <row r="135" spans="1:39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</row>
    <row r="136" spans="1:39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</row>
    <row r="137" spans="1:39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</row>
    <row r="138" spans="1:39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</row>
    <row r="139" spans="1:39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</row>
    <row r="140" spans="1:39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</row>
    <row r="141" spans="1:39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</row>
    <row r="142" spans="1:39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</row>
    <row r="143" spans="1:39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</row>
    <row r="144" spans="1:39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</row>
    <row r="145" spans="1:39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</row>
    <row r="146" spans="1:39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</row>
    <row r="147" spans="1:39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</row>
    <row r="148" spans="1:39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</row>
    <row r="149" spans="1:39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</row>
    <row r="150" spans="1:39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</row>
    <row r="151" spans="1:39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</row>
    <row r="152" spans="1:39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</row>
    <row r="153" spans="1:39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</row>
    <row r="154" spans="1:39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</row>
    <row r="155" spans="1:39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</row>
    <row r="156" spans="1:39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</row>
    <row r="157" spans="1:39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</row>
    <row r="158" spans="1:39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</row>
    <row r="159" spans="1:39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</row>
    <row r="160" spans="1:39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</row>
    <row r="161" spans="1:39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</row>
    <row r="162" spans="1:39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</row>
    <row r="163" spans="1:39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</row>
    <row r="164" spans="1:39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</row>
    <row r="165" spans="1:39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</row>
    <row r="166" spans="1:39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</row>
    <row r="167" spans="1:39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</row>
    <row r="168" spans="1:39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</row>
    <row r="169" spans="1:39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</row>
    <row r="170" spans="1:39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</row>
    <row r="171" spans="1:39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</row>
    <row r="172" spans="1:39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</row>
    <row r="173" spans="1:39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</row>
    <row r="174" spans="1:39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</row>
    <row r="175" spans="1:39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</row>
    <row r="176" spans="1:39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</row>
    <row r="177" spans="1:39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</row>
    <row r="178" spans="1:39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</row>
    <row r="179" spans="1:39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</row>
    <row r="180" spans="1:39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</row>
    <row r="181" spans="1:39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</row>
    <row r="182" spans="1:39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</row>
    <row r="183" spans="1:39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</row>
    <row r="184" spans="1:39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</row>
    <row r="185" spans="1:39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</row>
    <row r="186" spans="1:39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</row>
    <row r="187" spans="1:39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</row>
    <row r="188" spans="1:39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</row>
    <row r="189" spans="1:39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</row>
    <row r="190" spans="1:39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</row>
    <row r="191" spans="1:39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</row>
  </sheetData>
  <mergeCells count="6">
    <mergeCell ref="B18:P19"/>
    <mergeCell ref="B11:P12"/>
    <mergeCell ref="C9:E9"/>
    <mergeCell ref="F9:H9"/>
    <mergeCell ref="I9:K9"/>
    <mergeCell ref="L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Report Format</vt:lpstr>
      <vt:lpstr>Quarterly Report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Nouman Mughal</dc:creator>
  <cp:lastModifiedBy>Huzaifa Ayub</cp:lastModifiedBy>
  <dcterms:created xsi:type="dcterms:W3CDTF">2021-01-26T09:14:41Z</dcterms:created>
  <dcterms:modified xsi:type="dcterms:W3CDTF">2026-02-16T11:02:19Z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06abaf-cfcb-4629-bbac-8c98a9f28731_Enabled">
    <vt:lpwstr>true</vt:lpwstr>
  </property>
  <property fmtid="{D5CDD505-2E9C-101B-9397-08002B2CF9AE}" pid="3" name="MSIP_Label_f306abaf-cfcb-4629-bbac-8c98a9f28731_SetDate">
    <vt:lpwstr>2025-06-03T06:14:48Z</vt:lpwstr>
  </property>
  <property fmtid="{D5CDD505-2E9C-101B-9397-08002B2CF9AE}" pid="4" name="MSIP_Label_f306abaf-cfcb-4629-bbac-8c98a9f28731_Method">
    <vt:lpwstr>Privileged</vt:lpwstr>
  </property>
  <property fmtid="{D5CDD505-2E9C-101B-9397-08002B2CF9AE}" pid="5" name="MSIP_Label_f306abaf-cfcb-4629-bbac-8c98a9f28731_Name">
    <vt:lpwstr>Confidential</vt:lpwstr>
  </property>
  <property fmtid="{D5CDD505-2E9C-101B-9397-08002B2CF9AE}" pid="6" name="MSIP_Label_f306abaf-cfcb-4629-bbac-8c98a9f28731_SiteId">
    <vt:lpwstr>fc9737d7-0675-4ccd-af24-b45790ae0f11</vt:lpwstr>
  </property>
  <property fmtid="{D5CDD505-2E9C-101B-9397-08002B2CF9AE}" pid="7" name="MSIP_Label_f306abaf-cfcb-4629-bbac-8c98a9f28731_ActionId">
    <vt:lpwstr>1c85c94f-cac0-4b52-9535-bf2635aa32a4</vt:lpwstr>
  </property>
  <property fmtid="{D5CDD505-2E9C-101B-9397-08002B2CF9AE}" pid="8" name="MSIP_Label_f306abaf-cfcb-4629-bbac-8c98a9f28731_ContentBits">
    <vt:lpwstr>2</vt:lpwstr>
  </property>
</Properties>
</file>